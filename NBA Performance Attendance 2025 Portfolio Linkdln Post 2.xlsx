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8_{B15B7F30-5FE4-47B4-8D8D-3A6A78205CEA}" xr6:coauthVersionLast="47" xr6:coauthVersionMax="47" xr10:uidLastSave="{00000000-0000-0000-0000-000000000000}"/>
  <bookViews>
    <workbookView xWindow="-120" yWindow="-120" windowWidth="20730" windowHeight="11040" firstSheet="1" activeTab="2" xr2:uid="{40808F00-2B49-48F8-B218-36845CDF4997}"/>
  </bookViews>
  <sheets>
    <sheet name="Sheet1" sheetId="1" state="hidden" r:id="rId1"/>
    <sheet name="NBA Dashboard" sheetId="2" r:id="rId2"/>
    <sheet name="NBA Attendance Analysis" sheetId="7" r:id="rId3"/>
    <sheet name="NBA Wins Analysis" sheetId="8" r:id="rId4"/>
    <sheet name="NBA Winning Percentage" sheetId="9" r:id="rId5"/>
    <sheet name="NBA Correlation Analysis" sheetId="10" r:id="rId6"/>
    <sheet name="NBA 30 Teams" sheetId="6" r:id="rId7"/>
    <sheet name="SQl Win Anlysis " sheetId="4" r:id="rId8"/>
  </sheets>
  <definedNames>
    <definedName name="ExternalData_1" localSheetId="6" hidden="1">'NBA 30 Teams'!$A$1:$G$31</definedName>
    <definedName name="ExternalData_1" localSheetId="7" hidden="1">'SQl Win Anlysis 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2" l="1"/>
  <c r="D7" i="2"/>
  <c r="A7" i="2"/>
  <c r="J4" i="2"/>
  <c r="G4" i="2"/>
  <c r="D4" i="2"/>
  <c r="A4" i="2"/>
  <c r="I2" i="6"/>
  <c r="F3" i="1"/>
  <c r="F2" i="1"/>
  <c r="F6" i="1"/>
  <c r="F5" i="1"/>
  <c r="F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4A474-65ED-415A-BAB4-A6553A0FE0D6}" keepAlive="1" name="Query - NBA winning percentage SQL" description="Connection to the 'NBA winning percentage SQL' query in the workbook." type="5" refreshedVersion="8" background="1" saveData="1">
    <dbPr connection="Provider=Microsoft.Mashup.OleDb.1;Data Source=$Workbook$;Location=&quot;NBA winning percentage SQL&quot;;Extended Properties=&quot;&quot;" command="SELECT * FROM [NBA winning percentage SQL]"/>
  </connection>
  <connection id="2" xr16:uid="{AF6533CB-F031-4C4A-B53E-3DE3BECA082E}" keepAlive="1" name="Query - NBA_2025_Full_Season  SQL result" description="Connection to the 'NBA_2025_Full_Season  SQL result' query in the workbook." type="5" refreshedVersion="8" background="1" saveData="1">
    <dbPr connection="Provider=Microsoft.Mashup.OleDb.1;Data Source=$Workbook$;Location=&quot;NBA_2025_Full_Season  SQL result&quot;;Extended Properties=&quot;&quot;" command="SELECT * FROM [NBA_2025_Full_Season  SQL result]"/>
  </connection>
</connections>
</file>

<file path=xl/sharedStrings.xml><?xml version="1.0" encoding="utf-8"?>
<sst xmlns="http://schemas.openxmlformats.org/spreadsheetml/2006/main" count="72" uniqueCount="61">
  <si>
    <t xml:space="preserve">Team </t>
  </si>
  <si>
    <t xml:space="preserve">Wins </t>
  </si>
  <si>
    <t>Losses</t>
  </si>
  <si>
    <t>Home Attendance</t>
  </si>
  <si>
    <t xml:space="preserve">Home Games </t>
  </si>
  <si>
    <t>New York Knicks</t>
  </si>
  <si>
    <t>Boston Celtics</t>
  </si>
  <si>
    <t>Cleveland Cavaliers</t>
  </si>
  <si>
    <t>Chicago Bulls</t>
  </si>
  <si>
    <t>Denver Nuggets</t>
  </si>
  <si>
    <t>Average_Attendance</t>
  </si>
  <si>
    <t>Teams Analyzed</t>
  </si>
  <si>
    <t>Most Wins</t>
  </si>
  <si>
    <t>Average Wins</t>
  </si>
  <si>
    <t>NBA PERFORMANCE &amp; ATTENDANCE DASHBOARD</t>
  </si>
  <si>
    <t>Highest Attendance Team</t>
  </si>
  <si>
    <t>Highest Average Attendance</t>
  </si>
  <si>
    <t>Column1</t>
  </si>
  <si>
    <t>Column2</t>
  </si>
  <si>
    <t>Column3</t>
  </si>
  <si>
    <t>Column4</t>
  </si>
  <si>
    <t>Best Winning Percentage</t>
  </si>
  <si>
    <t>Best Performing Team</t>
  </si>
  <si>
    <t>Oklahoma City Thunder</t>
  </si>
  <si>
    <t>Houston Rockets</t>
  </si>
  <si>
    <t>Indiana Pacers</t>
  </si>
  <si>
    <t>Los Angeles Clippers</t>
  </si>
  <si>
    <t>Los Angeles Lakers</t>
  </si>
  <si>
    <t>Minnesota Timberwolves</t>
  </si>
  <si>
    <t>Golden State Warriors</t>
  </si>
  <si>
    <t>Milwaukee Bucks</t>
  </si>
  <si>
    <t>Memphis Grizzlies</t>
  </si>
  <si>
    <t>Detroit Pistons</t>
  </si>
  <si>
    <t>Orlando Magic</t>
  </si>
  <si>
    <t>Sacramento Kings</t>
  </si>
  <si>
    <t>Atlanta Hawks</t>
  </si>
  <si>
    <t>Dallas Mavericks</t>
  </si>
  <si>
    <t>Miami Heat</t>
  </si>
  <si>
    <t>Phoenix Suns</t>
  </si>
  <si>
    <t>Portland Trail Blazers</t>
  </si>
  <si>
    <t>San Antonio Spurs</t>
  </si>
  <si>
    <t>Toronto Raptors</t>
  </si>
  <si>
    <t>Brooklyn Nets</t>
  </si>
  <si>
    <t>Philadelphia 76ers</t>
  </si>
  <si>
    <t>New Orleans Pelicans</t>
  </si>
  <si>
    <t>Charlotte Hornets</t>
  </si>
  <si>
    <t>Washington Wizards</t>
  </si>
  <si>
    <t>Utah Jazz</t>
  </si>
  <si>
    <t>KEY FINDINGS &amp; STATISTICAL ANALYSIS</t>
  </si>
  <si>
    <t>Wins vs. Attendance Correlation</t>
  </si>
  <si>
    <t>R-Squared (R²)</t>
  </si>
  <si>
    <t>Relationship Strength</t>
  </si>
  <si>
    <t>2024–25 NBA Attendance Analysis — Key Finding</t>
  </si>
  <si>
    <t>Weak  Positive</t>
  </si>
  <si>
    <t>Team</t>
  </si>
  <si>
    <t>Wins</t>
  </si>
  <si>
    <t>Win Percentage</t>
  </si>
  <si>
    <t>Total Attendance</t>
  </si>
  <si>
    <t>Home Games</t>
  </si>
  <si>
    <t>Average Attendance</t>
  </si>
  <si>
    <t>An analysis of all 30 NBA teams found a weak positive relationship between regular-season wins and average home attendance (r = 0.228, R² = 0.052).
 Winning percentage and attendance are related only modestly, suggesting that team success alone is not a strong predictor of fan turnout. 
Other factors, including arena capacity, market size, ticket pricing, and fan loyalty, may influence attendance.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</si>
</sst>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6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rial Unicode MS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/>
    <xf numFmtId="0" fontId="4" fillId="0" borderId="0" xfId="0" applyFont="1"/>
    <xf numFmtId="0" fontId="0" fillId="2" borderId="0" xfId="0" applyFill="1"/>
    <xf numFmtId="0" fontId="1" fillId="0" borderId="0" xfId="0" applyFont="1" applyAlignment="1">
      <alignment vertical="center"/>
    </xf>
    <xf numFmtId="164" fontId="0" fillId="0" borderId="0" xfId="0" applyNumberFormat="1"/>
    <xf numFmtId="3" fontId="1" fillId="2" borderId="0" xfId="0" applyNumberFormat="1" applyFont="1" applyFill="1" applyAlignment="1">
      <alignment vertical="center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4"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tyles" Target="styles.xml"/><Relationship Id="rId5" Type="http://schemas.openxmlformats.org/officeDocument/2006/relationships/chartsheet" Target="chartsheets/sheet3.xml"/><Relationship Id="rId10" Type="http://schemas.openxmlformats.org/officeDocument/2006/relationships/connections" Target="connections.xml"/><Relationship Id="rId4" Type="http://schemas.openxmlformats.org/officeDocument/2006/relationships/chartsheet" Target="chartsheets/sheet2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Highest Average Attendance Team.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Attendance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'NBA 30 Teams'!$A$2:$A$31</c:f>
              <c:strCache>
                <c:ptCount val="30"/>
                <c:pt idx="0">
                  <c:v>Chicago Bulls</c:v>
                </c:pt>
                <c:pt idx="1">
                  <c:v>Dallas Mavericks</c:v>
                </c:pt>
                <c:pt idx="2">
                  <c:v>Philadelphia 76ers</c:v>
                </c:pt>
                <c:pt idx="3">
                  <c:v>New York Knicks</c:v>
                </c:pt>
                <c:pt idx="4">
                  <c:v>Denver Nuggets</c:v>
                </c:pt>
                <c:pt idx="5">
                  <c:v>Miami Heat</c:v>
                </c:pt>
                <c:pt idx="6">
                  <c:v>Cleveland Cavaliers</c:v>
                </c:pt>
                <c:pt idx="7">
                  <c:v>Boston Celtics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Toronto Raptors</c:v>
                </c:pt>
                <c:pt idx="11">
                  <c:v>Los Angeles Lakers</c:v>
                </c:pt>
                <c:pt idx="12">
                  <c:v>Orlando Magic</c:v>
                </c:pt>
                <c:pt idx="13">
                  <c:v>Utah Jazz</c:v>
                </c:pt>
                <c:pt idx="14">
                  <c:v>Golden State Warriors</c:v>
                </c:pt>
                <c:pt idx="15">
                  <c:v>Oklahoma City Thunder</c:v>
                </c:pt>
                <c:pt idx="16">
                  <c:v>San Antonio Spurs</c:v>
                </c:pt>
                <c:pt idx="17">
                  <c:v>Portland Trail Blazers</c:v>
                </c:pt>
                <c:pt idx="18">
                  <c:v>Houston Rockets</c:v>
                </c:pt>
                <c:pt idx="19">
                  <c:v>Milwaukee Bucks</c:v>
                </c:pt>
                <c:pt idx="20">
                  <c:v>Brooklyn Nets</c:v>
                </c:pt>
                <c:pt idx="21">
                  <c:v>Charlotte Hornets</c:v>
                </c:pt>
                <c:pt idx="22">
                  <c:v>Phoenix Suns</c:v>
                </c:pt>
                <c:pt idx="23">
                  <c:v>Sacramento Kings</c:v>
                </c:pt>
                <c:pt idx="24">
                  <c:v>New Orleans Pelicans</c:v>
                </c:pt>
                <c:pt idx="25">
                  <c:v>Indiana Pacers</c:v>
                </c:pt>
                <c:pt idx="26">
                  <c:v>Memphis Grizzlies</c:v>
                </c:pt>
                <c:pt idx="27">
                  <c:v>Los Angeles Clippers</c:v>
                </c:pt>
                <c:pt idx="28">
                  <c:v>Atlanta Hawks</c:v>
                </c:pt>
                <c:pt idx="29">
                  <c:v>Washington Wizards</c:v>
                </c:pt>
              </c:strCache>
            </c:strRef>
          </c:cat>
          <c:val>
            <c:numRef>
              <c:f>'NBA 30 Teams'!$G$2:$G$31</c:f>
              <c:numCache>
                <c:formatCode>#,##0</c:formatCode>
                <c:ptCount val="30"/>
                <c:pt idx="0">
                  <c:v>20138.02</c:v>
                </c:pt>
                <c:pt idx="1">
                  <c:v>20079.349999999999</c:v>
                </c:pt>
                <c:pt idx="2">
                  <c:v>19844.41</c:v>
                </c:pt>
                <c:pt idx="3">
                  <c:v>19799.849999999999</c:v>
                </c:pt>
                <c:pt idx="4">
                  <c:v>19785.63</c:v>
                </c:pt>
                <c:pt idx="5">
                  <c:v>19715.54</c:v>
                </c:pt>
                <c:pt idx="6">
                  <c:v>19432</c:v>
                </c:pt>
                <c:pt idx="7">
                  <c:v>19156</c:v>
                </c:pt>
                <c:pt idx="8">
                  <c:v>19071.439999999999</c:v>
                </c:pt>
                <c:pt idx="9">
                  <c:v>18835.34</c:v>
                </c:pt>
                <c:pt idx="10">
                  <c:v>18745.68</c:v>
                </c:pt>
                <c:pt idx="11">
                  <c:v>18722.59</c:v>
                </c:pt>
                <c:pt idx="12">
                  <c:v>18588.32</c:v>
                </c:pt>
                <c:pt idx="13">
                  <c:v>18175</c:v>
                </c:pt>
                <c:pt idx="14">
                  <c:v>18064</c:v>
                </c:pt>
                <c:pt idx="15">
                  <c:v>17973.05</c:v>
                </c:pt>
                <c:pt idx="16">
                  <c:v>17894.13</c:v>
                </c:pt>
                <c:pt idx="17">
                  <c:v>17545.59</c:v>
                </c:pt>
                <c:pt idx="18">
                  <c:v>17484.22</c:v>
                </c:pt>
                <c:pt idx="19">
                  <c:v>17436.61</c:v>
                </c:pt>
                <c:pt idx="20">
                  <c:v>17397.66</c:v>
                </c:pt>
                <c:pt idx="21">
                  <c:v>17169.150000000001</c:v>
                </c:pt>
                <c:pt idx="22">
                  <c:v>17071</c:v>
                </c:pt>
                <c:pt idx="23">
                  <c:v>16985.59</c:v>
                </c:pt>
                <c:pt idx="24">
                  <c:v>16814.63</c:v>
                </c:pt>
                <c:pt idx="25">
                  <c:v>16737.48</c:v>
                </c:pt>
                <c:pt idx="26">
                  <c:v>16660.169999999998</c:v>
                </c:pt>
                <c:pt idx="27">
                  <c:v>16566.34</c:v>
                </c:pt>
                <c:pt idx="28">
                  <c:v>16440.330000000002</c:v>
                </c:pt>
                <c:pt idx="29">
                  <c:v>16084.08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E-451E-BDE6-E3C8D432B7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91353359"/>
        <c:axId val="309360399"/>
      </c:barChart>
      <c:catAx>
        <c:axId val="10913533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360399"/>
        <c:crosses val="autoZero"/>
        <c:auto val="1"/>
        <c:lblAlgn val="ctr"/>
        <c:lblOffset val="100"/>
        <c:noMultiLvlLbl val="0"/>
      </c:catAx>
      <c:valAx>
        <c:axId val="309360399"/>
        <c:scaling>
          <c:orientation val="minMax"/>
          <c:max val="25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5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NBA Team Wins - 2024-25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Wins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'NBA 30 Teams'!$A$2:$A$31</c:f>
              <c:strCache>
                <c:ptCount val="30"/>
                <c:pt idx="0">
                  <c:v>Chicago Bulls</c:v>
                </c:pt>
                <c:pt idx="1">
                  <c:v>Dallas Mavericks</c:v>
                </c:pt>
                <c:pt idx="2">
                  <c:v>Philadelphia 76ers</c:v>
                </c:pt>
                <c:pt idx="3">
                  <c:v>New York Knicks</c:v>
                </c:pt>
                <c:pt idx="4">
                  <c:v>Denver Nuggets</c:v>
                </c:pt>
                <c:pt idx="5">
                  <c:v>Miami Heat</c:v>
                </c:pt>
                <c:pt idx="6">
                  <c:v>Cleveland Cavaliers</c:v>
                </c:pt>
                <c:pt idx="7">
                  <c:v>Boston Celtics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Toronto Raptors</c:v>
                </c:pt>
                <c:pt idx="11">
                  <c:v>Los Angeles Lakers</c:v>
                </c:pt>
                <c:pt idx="12">
                  <c:v>Orlando Magic</c:v>
                </c:pt>
                <c:pt idx="13">
                  <c:v>Utah Jazz</c:v>
                </c:pt>
                <c:pt idx="14">
                  <c:v>Golden State Warriors</c:v>
                </c:pt>
                <c:pt idx="15">
                  <c:v>Oklahoma City Thunder</c:v>
                </c:pt>
                <c:pt idx="16">
                  <c:v>San Antonio Spurs</c:v>
                </c:pt>
                <c:pt idx="17">
                  <c:v>Portland Trail Blazers</c:v>
                </c:pt>
                <c:pt idx="18">
                  <c:v>Houston Rockets</c:v>
                </c:pt>
                <c:pt idx="19">
                  <c:v>Milwaukee Bucks</c:v>
                </c:pt>
                <c:pt idx="20">
                  <c:v>Brooklyn Nets</c:v>
                </c:pt>
                <c:pt idx="21">
                  <c:v>Charlotte Hornets</c:v>
                </c:pt>
                <c:pt idx="22">
                  <c:v>Phoenix Suns</c:v>
                </c:pt>
                <c:pt idx="23">
                  <c:v>Sacramento Kings</c:v>
                </c:pt>
                <c:pt idx="24">
                  <c:v>New Orleans Pelicans</c:v>
                </c:pt>
                <c:pt idx="25">
                  <c:v>Indiana Pacers</c:v>
                </c:pt>
                <c:pt idx="26">
                  <c:v>Memphis Grizzlies</c:v>
                </c:pt>
                <c:pt idx="27">
                  <c:v>Los Angeles Clippers</c:v>
                </c:pt>
                <c:pt idx="28">
                  <c:v>Atlanta Hawks</c:v>
                </c:pt>
                <c:pt idx="29">
                  <c:v>Washington Wizards</c:v>
                </c:pt>
              </c:strCache>
            </c:strRef>
          </c:cat>
          <c:val>
            <c:numRef>
              <c:f>'NBA 30 Teams'!$B$2:$B$31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24</c:v>
                </c:pt>
                <c:pt idx="3">
                  <c:v>51</c:v>
                </c:pt>
                <c:pt idx="4">
                  <c:v>50</c:v>
                </c:pt>
                <c:pt idx="5">
                  <c:v>37</c:v>
                </c:pt>
                <c:pt idx="6">
                  <c:v>64</c:v>
                </c:pt>
                <c:pt idx="7">
                  <c:v>61</c:v>
                </c:pt>
                <c:pt idx="8">
                  <c:v>44</c:v>
                </c:pt>
                <c:pt idx="9">
                  <c:v>49</c:v>
                </c:pt>
                <c:pt idx="10">
                  <c:v>30</c:v>
                </c:pt>
                <c:pt idx="11">
                  <c:v>50</c:v>
                </c:pt>
                <c:pt idx="12">
                  <c:v>41</c:v>
                </c:pt>
                <c:pt idx="13">
                  <c:v>17</c:v>
                </c:pt>
                <c:pt idx="14">
                  <c:v>48</c:v>
                </c:pt>
                <c:pt idx="15">
                  <c:v>68</c:v>
                </c:pt>
                <c:pt idx="16">
                  <c:v>34</c:v>
                </c:pt>
                <c:pt idx="17">
                  <c:v>36</c:v>
                </c:pt>
                <c:pt idx="18">
                  <c:v>52</c:v>
                </c:pt>
                <c:pt idx="19">
                  <c:v>48</c:v>
                </c:pt>
                <c:pt idx="20">
                  <c:v>26</c:v>
                </c:pt>
                <c:pt idx="21">
                  <c:v>19</c:v>
                </c:pt>
                <c:pt idx="22">
                  <c:v>36</c:v>
                </c:pt>
                <c:pt idx="23">
                  <c:v>40</c:v>
                </c:pt>
                <c:pt idx="24">
                  <c:v>21</c:v>
                </c:pt>
                <c:pt idx="25">
                  <c:v>50</c:v>
                </c:pt>
                <c:pt idx="26">
                  <c:v>48</c:v>
                </c:pt>
                <c:pt idx="27">
                  <c:v>50</c:v>
                </c:pt>
                <c:pt idx="28">
                  <c:v>40</c:v>
                </c:pt>
                <c:pt idx="2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6-4CE3-A5CD-DB1C9EE7A2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9969519"/>
        <c:axId val="309367119"/>
      </c:barChart>
      <c:catAx>
        <c:axId val="4599695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367119"/>
        <c:crosses val="autoZero"/>
        <c:auto val="1"/>
        <c:lblAlgn val="ctr"/>
        <c:lblOffset val="100"/>
        <c:noMultiLvlLbl val="0"/>
      </c:catAx>
      <c:valAx>
        <c:axId val="3093671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6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NBA Team Winning Percentage — 2024–25.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67769028871391"/>
          <c:y val="0.19486111111111112"/>
          <c:w val="0.71755643044619422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v>Winning 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'NBA 30 Teams'!$A$2:$A$31</c:f>
              <c:strCache>
                <c:ptCount val="30"/>
                <c:pt idx="0">
                  <c:v>Chicago Bulls</c:v>
                </c:pt>
                <c:pt idx="1">
                  <c:v>Dallas Mavericks</c:v>
                </c:pt>
                <c:pt idx="2">
                  <c:v>Philadelphia 76ers</c:v>
                </c:pt>
                <c:pt idx="3">
                  <c:v>New York Knicks</c:v>
                </c:pt>
                <c:pt idx="4">
                  <c:v>Denver Nuggets</c:v>
                </c:pt>
                <c:pt idx="5">
                  <c:v>Miami Heat</c:v>
                </c:pt>
                <c:pt idx="6">
                  <c:v>Cleveland Cavaliers</c:v>
                </c:pt>
                <c:pt idx="7">
                  <c:v>Boston Celtics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Toronto Raptors</c:v>
                </c:pt>
                <c:pt idx="11">
                  <c:v>Los Angeles Lakers</c:v>
                </c:pt>
                <c:pt idx="12">
                  <c:v>Orlando Magic</c:v>
                </c:pt>
                <c:pt idx="13">
                  <c:v>Utah Jazz</c:v>
                </c:pt>
                <c:pt idx="14">
                  <c:v>Golden State Warriors</c:v>
                </c:pt>
                <c:pt idx="15">
                  <c:v>Oklahoma City Thunder</c:v>
                </c:pt>
                <c:pt idx="16">
                  <c:v>San Antonio Spurs</c:v>
                </c:pt>
                <c:pt idx="17">
                  <c:v>Portland Trail Blazers</c:v>
                </c:pt>
                <c:pt idx="18">
                  <c:v>Houston Rockets</c:v>
                </c:pt>
                <c:pt idx="19">
                  <c:v>Milwaukee Bucks</c:v>
                </c:pt>
                <c:pt idx="20">
                  <c:v>Brooklyn Nets</c:v>
                </c:pt>
                <c:pt idx="21">
                  <c:v>Charlotte Hornets</c:v>
                </c:pt>
                <c:pt idx="22">
                  <c:v>Phoenix Suns</c:v>
                </c:pt>
                <c:pt idx="23">
                  <c:v>Sacramento Kings</c:v>
                </c:pt>
                <c:pt idx="24">
                  <c:v>New Orleans Pelicans</c:v>
                </c:pt>
                <c:pt idx="25">
                  <c:v>Indiana Pacers</c:v>
                </c:pt>
                <c:pt idx="26">
                  <c:v>Memphis Grizzlies</c:v>
                </c:pt>
                <c:pt idx="27">
                  <c:v>Los Angeles Clippers</c:v>
                </c:pt>
                <c:pt idx="28">
                  <c:v>Atlanta Hawks</c:v>
                </c:pt>
                <c:pt idx="29">
                  <c:v>Washington Wizards</c:v>
                </c:pt>
              </c:strCache>
            </c:strRef>
          </c:cat>
          <c:val>
            <c:numRef>
              <c:f>'NBA 30 Teams'!$D$2:$D$31</c:f>
              <c:numCache>
                <c:formatCode>0.00"%"</c:formatCode>
                <c:ptCount val="30"/>
                <c:pt idx="0">
                  <c:v>47.56</c:v>
                </c:pt>
                <c:pt idx="1">
                  <c:v>47.56</c:v>
                </c:pt>
                <c:pt idx="2">
                  <c:v>29.27</c:v>
                </c:pt>
                <c:pt idx="3">
                  <c:v>62.2</c:v>
                </c:pt>
                <c:pt idx="4">
                  <c:v>60.98</c:v>
                </c:pt>
                <c:pt idx="5">
                  <c:v>45.12</c:v>
                </c:pt>
                <c:pt idx="6">
                  <c:v>78.05</c:v>
                </c:pt>
                <c:pt idx="7">
                  <c:v>74.39</c:v>
                </c:pt>
                <c:pt idx="8">
                  <c:v>53.66</c:v>
                </c:pt>
                <c:pt idx="9">
                  <c:v>59.76</c:v>
                </c:pt>
                <c:pt idx="10">
                  <c:v>36.590000000000003</c:v>
                </c:pt>
                <c:pt idx="11">
                  <c:v>60.98</c:v>
                </c:pt>
                <c:pt idx="12">
                  <c:v>50</c:v>
                </c:pt>
                <c:pt idx="13">
                  <c:v>20.73</c:v>
                </c:pt>
                <c:pt idx="14">
                  <c:v>58.54</c:v>
                </c:pt>
                <c:pt idx="15">
                  <c:v>82.93</c:v>
                </c:pt>
                <c:pt idx="16">
                  <c:v>41.46</c:v>
                </c:pt>
                <c:pt idx="17">
                  <c:v>43.9</c:v>
                </c:pt>
                <c:pt idx="18">
                  <c:v>63.41</c:v>
                </c:pt>
                <c:pt idx="19">
                  <c:v>58.54</c:v>
                </c:pt>
                <c:pt idx="20">
                  <c:v>31.71</c:v>
                </c:pt>
                <c:pt idx="21">
                  <c:v>23.17</c:v>
                </c:pt>
                <c:pt idx="22">
                  <c:v>43.9</c:v>
                </c:pt>
                <c:pt idx="23">
                  <c:v>48.78</c:v>
                </c:pt>
                <c:pt idx="24">
                  <c:v>25.61</c:v>
                </c:pt>
                <c:pt idx="25">
                  <c:v>60.98</c:v>
                </c:pt>
                <c:pt idx="26">
                  <c:v>58.54</c:v>
                </c:pt>
                <c:pt idx="27">
                  <c:v>60.98</c:v>
                </c:pt>
                <c:pt idx="28">
                  <c:v>48.78</c:v>
                </c:pt>
                <c:pt idx="29">
                  <c:v>21.95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2-4050-B151-80CA9B3490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2051647"/>
        <c:axId val="1099096655"/>
      </c:barChart>
      <c:catAx>
        <c:axId val="93205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96655"/>
        <c:crosses val="autoZero"/>
        <c:auto val="1"/>
        <c:lblAlgn val="ctr"/>
        <c:lblOffset val="100"/>
        <c:noMultiLvlLbl val="0"/>
      </c:catAx>
      <c:valAx>
        <c:axId val="10990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5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NBA 2024–25: Team Wins vs. Average Home Attendance</a:t>
            </a:r>
            <a:endParaRPr lang="en-US" b="1"/>
          </a:p>
        </c:rich>
      </c:tx>
      <c:layout>
        <c:manualLayout>
          <c:xMode val="edge"/>
          <c:yMode val="edge"/>
          <c:x val="0.19140266841644796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94436415859682"/>
          <c:y val="0.17663165635581321"/>
          <c:w val="0.82990469244517673"/>
          <c:h val="0.60618374180095125"/>
        </c:manualLayout>
      </c:layout>
      <c:scatterChart>
        <c:scatterStyle val="lineMarker"/>
        <c:varyColors val="0"/>
        <c:ser>
          <c:idx val="0"/>
          <c:order val="0"/>
          <c:tx>
            <c:v>Wins vs Attendance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3051999338036749E-2"/>
                  <c:y val="-2.19117155810069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'NBA 30 Teams'!$B$2:$B$31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24</c:v>
                </c:pt>
                <c:pt idx="3">
                  <c:v>51</c:v>
                </c:pt>
                <c:pt idx="4">
                  <c:v>50</c:v>
                </c:pt>
                <c:pt idx="5">
                  <c:v>37</c:v>
                </c:pt>
                <c:pt idx="6">
                  <c:v>64</c:v>
                </c:pt>
                <c:pt idx="7">
                  <c:v>61</c:v>
                </c:pt>
                <c:pt idx="8">
                  <c:v>44</c:v>
                </c:pt>
                <c:pt idx="9">
                  <c:v>49</c:v>
                </c:pt>
                <c:pt idx="10">
                  <c:v>30</c:v>
                </c:pt>
                <c:pt idx="11">
                  <c:v>50</c:v>
                </c:pt>
                <c:pt idx="12">
                  <c:v>41</c:v>
                </c:pt>
                <c:pt idx="13">
                  <c:v>17</c:v>
                </c:pt>
                <c:pt idx="14">
                  <c:v>48</c:v>
                </c:pt>
                <c:pt idx="15">
                  <c:v>68</c:v>
                </c:pt>
                <c:pt idx="16">
                  <c:v>34</c:v>
                </c:pt>
                <c:pt idx="17">
                  <c:v>36</c:v>
                </c:pt>
                <c:pt idx="18">
                  <c:v>52</c:v>
                </c:pt>
                <c:pt idx="19">
                  <c:v>48</c:v>
                </c:pt>
                <c:pt idx="20">
                  <c:v>26</c:v>
                </c:pt>
                <c:pt idx="21">
                  <c:v>19</c:v>
                </c:pt>
                <c:pt idx="22">
                  <c:v>36</c:v>
                </c:pt>
                <c:pt idx="23">
                  <c:v>40</c:v>
                </c:pt>
                <c:pt idx="24">
                  <c:v>21</c:v>
                </c:pt>
                <c:pt idx="25">
                  <c:v>50</c:v>
                </c:pt>
                <c:pt idx="26">
                  <c:v>48</c:v>
                </c:pt>
                <c:pt idx="27">
                  <c:v>50</c:v>
                </c:pt>
                <c:pt idx="28">
                  <c:v>40</c:v>
                </c:pt>
                <c:pt idx="29">
                  <c:v>18</c:v>
                </c:pt>
              </c:numCache>
            </c:numRef>
          </c:xVal>
          <c:yVal>
            <c:numRef>
              <c:f>'NBA 30 Teams'!$G$2:$G$31</c:f>
              <c:numCache>
                <c:formatCode>#,##0</c:formatCode>
                <c:ptCount val="30"/>
                <c:pt idx="0">
                  <c:v>20138.02</c:v>
                </c:pt>
                <c:pt idx="1">
                  <c:v>20079.349999999999</c:v>
                </c:pt>
                <c:pt idx="2">
                  <c:v>19844.41</c:v>
                </c:pt>
                <c:pt idx="3">
                  <c:v>19799.849999999999</c:v>
                </c:pt>
                <c:pt idx="4">
                  <c:v>19785.63</c:v>
                </c:pt>
                <c:pt idx="5">
                  <c:v>19715.54</c:v>
                </c:pt>
                <c:pt idx="6">
                  <c:v>19432</c:v>
                </c:pt>
                <c:pt idx="7">
                  <c:v>19156</c:v>
                </c:pt>
                <c:pt idx="8">
                  <c:v>19071.439999999999</c:v>
                </c:pt>
                <c:pt idx="9">
                  <c:v>18835.34</c:v>
                </c:pt>
                <c:pt idx="10">
                  <c:v>18745.68</c:v>
                </c:pt>
                <c:pt idx="11">
                  <c:v>18722.59</c:v>
                </c:pt>
                <c:pt idx="12">
                  <c:v>18588.32</c:v>
                </c:pt>
                <c:pt idx="13">
                  <c:v>18175</c:v>
                </c:pt>
                <c:pt idx="14">
                  <c:v>18064</c:v>
                </c:pt>
                <c:pt idx="15">
                  <c:v>17973.05</c:v>
                </c:pt>
                <c:pt idx="16">
                  <c:v>17894.13</c:v>
                </c:pt>
                <c:pt idx="17">
                  <c:v>17545.59</c:v>
                </c:pt>
                <c:pt idx="18">
                  <c:v>17484.22</c:v>
                </c:pt>
                <c:pt idx="19">
                  <c:v>17436.61</c:v>
                </c:pt>
                <c:pt idx="20">
                  <c:v>17397.66</c:v>
                </c:pt>
                <c:pt idx="21">
                  <c:v>17169.150000000001</c:v>
                </c:pt>
                <c:pt idx="22">
                  <c:v>17071</c:v>
                </c:pt>
                <c:pt idx="23">
                  <c:v>16985.59</c:v>
                </c:pt>
                <c:pt idx="24">
                  <c:v>16814.63</c:v>
                </c:pt>
                <c:pt idx="25">
                  <c:v>16737.48</c:v>
                </c:pt>
                <c:pt idx="26">
                  <c:v>16660.169999999998</c:v>
                </c:pt>
                <c:pt idx="27">
                  <c:v>16566.34</c:v>
                </c:pt>
                <c:pt idx="28">
                  <c:v>16440.330000000002</c:v>
                </c:pt>
                <c:pt idx="29">
                  <c:v>16084.08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7DB-4C54-A670-0F8604690F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84182463"/>
        <c:axId val="424528911"/>
      </c:scatterChart>
      <c:valAx>
        <c:axId val="48418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Team 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28911"/>
        <c:crosses val="autoZero"/>
        <c:crossBetween val="midCat"/>
      </c:valAx>
      <c:valAx>
        <c:axId val="4245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Home Attendance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8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91E553-8143-4045-8F95-4BD9DA09CC66}">
  <sheetPr/>
  <sheetViews>
    <sheetView tabSelected="1" zoomScale="8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F5AAC2-0AC4-4FB4-ACAE-B631ED580B71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BCDA76-0595-4D72-A2EB-AF6F8DB975D7}">
  <sheetPr/>
  <sheetViews>
    <sheetView zoomScale="8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1B2842-E4B9-469F-9C2A-C79F784BD342}">
  <sheetPr/>
  <sheetViews>
    <sheetView zoomScale="9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91480-0E45-6D39-2E2B-4B320768DB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66C68-1BBE-3465-87A5-1E3AE86C53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F96F6-C732-AD74-45D8-7AE8BC2E8D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DD649-71E4-4984-2A89-2128285E85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AEB5607-48D3-40A6-96EA-9BF849EBA4E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647909-1FA1-42E6-A2EA-1C2C9C8318C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35E4B6-8680-44DD-9A0D-D11F527DF817}" name="NBA_2025_Full_Season__SQL_result" displayName="NBA_2025_Full_Season__SQL_result" ref="A1:G31" tableType="queryTable" totalsRowShown="0">
  <autoFilter ref="A1:G31" xr:uid="{3635E4B6-8680-44DD-9A0D-D11F527DF817}"/>
  <sortState xmlns:xlrd2="http://schemas.microsoft.com/office/spreadsheetml/2017/richdata2" ref="A2:G31">
    <sortCondition descending="1" ref="G1:G31"/>
  </sortState>
  <tableColumns count="7">
    <tableColumn id="1" xr3:uid="{7C18384A-C53B-445E-89A8-F261BA5A3D3D}" uniqueName="1" name="Team" queryTableFieldId="1" dataDxfId="3"/>
    <tableColumn id="2" xr3:uid="{321172AC-E4D2-4EC0-8826-8330824FF5D5}" uniqueName="2" name="Wins" queryTableFieldId="2"/>
    <tableColumn id="3" xr3:uid="{829B95FF-CD16-46A7-8771-B1A0FE34E725}" uniqueName="3" name="Losses" queryTableFieldId="3"/>
    <tableColumn id="4" xr3:uid="{46D70DF6-2826-4452-A94E-56195366F9CD}" uniqueName="4" name="Win Percentage" queryTableFieldId="4"/>
    <tableColumn id="5" xr3:uid="{199D2094-2E09-46B3-BE75-AC033F2E8DD8}" uniqueName="5" name="Total Attendance" queryTableFieldId="5" dataDxfId="2"/>
    <tableColumn id="6" xr3:uid="{6AE3F43A-7B8F-4509-ABCD-5D1AFD961E77}" uniqueName="6" name="Home Games" queryTableFieldId="6"/>
    <tableColumn id="7" xr3:uid="{8DC8A9FD-B57D-438E-BB53-55F1F9CF2C0B}" uniqueName="7" name="Average Attendance" queryTableFieldId="7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E6D94-9D5C-4888-B77F-8B3BE6F239A5}" name="NBA_winning_percentage_SQL" displayName="NBA_winning_percentage_SQL" ref="A1:D6" tableType="queryTable" totalsRowShown="0">
  <autoFilter ref="A1:D6" xr:uid="{C5CE6D94-9D5C-4888-B77F-8B3BE6F239A5}"/>
  <tableColumns count="4">
    <tableColumn id="1" xr3:uid="{6BC543B9-7874-4738-A95E-57B0B9218B89}" uniqueName="1" name="Column1" queryTableFieldId="1" dataDxfId="0"/>
    <tableColumn id="2" xr3:uid="{D2D0E626-F39C-4EEF-AB19-94672D5330FC}" uniqueName="2" name="Column2" queryTableFieldId="2"/>
    <tableColumn id="3" xr3:uid="{574395CF-EE09-49E5-B7C3-98708FC266F5}" uniqueName="3" name="Column3" queryTableFieldId="3"/>
    <tableColumn id="4" xr3:uid="{0716354F-6E16-4833-B2F0-B03C00164B7A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017C-CB08-4394-9FCF-C1FC108A9FDD}">
  <dimension ref="A1:F6"/>
  <sheetViews>
    <sheetView workbookViewId="0">
      <selection activeCell="O23" sqref="O23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>
      <c r="A2" t="s">
        <v>7</v>
      </c>
      <c r="B2">
        <v>64</v>
      </c>
      <c r="C2">
        <v>18</v>
      </c>
      <c r="D2" s="1">
        <v>796712</v>
      </c>
      <c r="E2">
        <v>41</v>
      </c>
      <c r="F2">
        <f>D2/E2</f>
        <v>19432</v>
      </c>
    </row>
    <row r="3" spans="1:6">
      <c r="A3" t="s">
        <v>6</v>
      </c>
      <c r="B3">
        <v>61</v>
      </c>
      <c r="C3">
        <v>21</v>
      </c>
      <c r="D3" s="1">
        <v>785396</v>
      </c>
      <c r="E3">
        <v>41</v>
      </c>
      <c r="F3">
        <f>D3/E3</f>
        <v>19156</v>
      </c>
    </row>
    <row r="4" spans="1:6">
      <c r="A4" t="s">
        <v>5</v>
      </c>
      <c r="B4">
        <v>51</v>
      </c>
      <c r="C4">
        <v>31</v>
      </c>
      <c r="D4" s="1">
        <v>811794</v>
      </c>
      <c r="E4">
        <v>41</v>
      </c>
      <c r="F4">
        <f>D4/E4</f>
        <v>19799.853658536584</v>
      </c>
    </row>
    <row r="5" spans="1:6">
      <c r="A5" t="s">
        <v>9</v>
      </c>
      <c r="B5">
        <v>50</v>
      </c>
      <c r="C5">
        <v>32</v>
      </c>
      <c r="D5" s="1">
        <v>811211</v>
      </c>
      <c r="E5">
        <v>41</v>
      </c>
      <c r="F5">
        <f>D5/E5</f>
        <v>19785.634146341465</v>
      </c>
    </row>
    <row r="6" spans="1:6">
      <c r="A6" t="s">
        <v>8</v>
      </c>
      <c r="B6">
        <v>39</v>
      </c>
      <c r="C6">
        <v>43</v>
      </c>
      <c r="D6" s="1">
        <v>825659</v>
      </c>
      <c r="E6">
        <v>41</v>
      </c>
      <c r="F6">
        <f>D6/E6</f>
        <v>20138.024390243903</v>
      </c>
    </row>
  </sheetData>
  <sortState xmlns:xlrd2="http://schemas.microsoft.com/office/spreadsheetml/2017/richdata2" ref="A2:F6">
    <sortCondition descending="1" ref="B2:B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D77A-B08D-4F8D-BABA-325307D968AF}">
  <dimension ref="A1:K21"/>
  <sheetViews>
    <sheetView showGridLines="0" zoomScale="80" zoomScaleNormal="80" workbookViewId="0">
      <selection activeCell="K13" sqref="K13"/>
    </sheetView>
  </sheetViews>
  <sheetFormatPr defaultRowHeight="15"/>
  <cols>
    <col min="1" max="8" width="15.7109375" customWidth="1"/>
  </cols>
  <sheetData>
    <row r="1" spans="1:11" ht="26.25">
      <c r="A1" s="2" t="s">
        <v>14</v>
      </c>
    </row>
    <row r="3" spans="1:11" ht="18.75">
      <c r="A3" s="4" t="s">
        <v>11</v>
      </c>
      <c r="D3" s="4" t="s">
        <v>12</v>
      </c>
      <c r="G3" s="4" t="s">
        <v>13</v>
      </c>
      <c r="J3" s="4" t="s">
        <v>21</v>
      </c>
    </row>
    <row r="4" spans="1:11">
      <c r="A4" s="3">
        <f>COUNTA('NBA 30 Teams'!A2:A31)</f>
        <v>30</v>
      </c>
      <c r="D4" s="3">
        <f>MAX('NBA 30 Teams'!B2:B31)</f>
        <v>68</v>
      </c>
      <c r="G4" s="3">
        <f>ROUND(AVERAGE('NBA 30 Teams'!B2:B31),0)</f>
        <v>41</v>
      </c>
      <c r="J4" s="3" t="str">
        <f>TEXT(MAX('NBA 30 Teams'!D2:D31),"0.00")&amp;"%"</f>
        <v>82.93%</v>
      </c>
    </row>
    <row r="5" spans="1:11" ht="18.75">
      <c r="J5" s="4" t="s">
        <v>22</v>
      </c>
    </row>
    <row r="6" spans="1:11" ht="18.75">
      <c r="A6" s="5" t="s">
        <v>15</v>
      </c>
      <c r="D6" s="4" t="s">
        <v>16</v>
      </c>
      <c r="J6" s="3" t="str">
        <f>INDEX('NBA 30 Teams'!A2:A31,MATCH(MAX('NBA 30 Teams'!B2:B31),'NBA 30 Teams'!B2:B31,0))</f>
        <v>Oklahoma City Thunder</v>
      </c>
      <c r="K6" s="6"/>
    </row>
    <row r="7" spans="1:11">
      <c r="A7" s="3" t="str">
        <f>INDEX('NBA 30 Teams'!A2:A31,MATCH(MAX('NBA 30 Teams'!G2:G31),'NBA 30 Teams'!G2:G31,0))</f>
        <v>Chicago Bulls</v>
      </c>
      <c r="D7" s="9">
        <f>ROUND(MAX('NBA 30 Teams'!G2:G31),0)</f>
        <v>20138</v>
      </c>
    </row>
    <row r="10" spans="1:11" ht="18.75">
      <c r="A10" s="4" t="s">
        <v>48</v>
      </c>
    </row>
    <row r="12" spans="1:11" ht="18.75">
      <c r="A12" s="4" t="s">
        <v>49</v>
      </c>
      <c r="D12" s="4" t="s">
        <v>50</v>
      </c>
      <c r="G12" s="4" t="s">
        <v>51</v>
      </c>
    </row>
    <row r="13" spans="1:11">
      <c r="A13" s="6">
        <v>0.22800000000000001</v>
      </c>
      <c r="D13" s="6">
        <v>5.1999999999999998E-2</v>
      </c>
      <c r="G13" s="6" t="s">
        <v>53</v>
      </c>
    </row>
    <row r="16" spans="1:11" ht="15.75" customHeight="1">
      <c r="A16" s="4" t="s">
        <v>52</v>
      </c>
    </row>
    <row r="17" spans="1:1" ht="26.25" customHeight="1"/>
    <row r="18" spans="1:1" s="10" customFormat="1" ht="48" customHeight="1">
      <c r="A18" s="10" t="s">
        <v>60</v>
      </c>
    </row>
    <row r="19" spans="1:1" s="10" customFormat="1"/>
    <row r="20" spans="1:1" s="10" customFormat="1"/>
    <row r="21" spans="1:1" s="10" customFormat="1"/>
  </sheetData>
  <mergeCells count="1">
    <mergeCell ref="A18:XFD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FB3D-97AD-42F2-828E-88ED7EA3F7EB}">
  <dimension ref="A1:I31"/>
  <sheetViews>
    <sheetView topLeftCell="A2" workbookViewId="0">
      <selection activeCell="G1" sqref="G1"/>
    </sheetView>
  </sheetViews>
  <sheetFormatPr defaultRowHeight="15"/>
  <cols>
    <col min="1" max="1" width="23.28515625" bestFit="1" customWidth="1"/>
    <col min="2" max="7" width="11.42578125" bestFit="1" customWidth="1"/>
  </cols>
  <sheetData>
    <row r="1" spans="1:9">
      <c r="A1" t="s">
        <v>54</v>
      </c>
      <c r="B1" t="s">
        <v>55</v>
      </c>
      <c r="C1" t="s">
        <v>2</v>
      </c>
      <c r="D1" t="s">
        <v>56</v>
      </c>
      <c r="E1" t="s">
        <v>57</v>
      </c>
      <c r="F1" t="s">
        <v>58</v>
      </c>
      <c r="G1" t="s">
        <v>59</v>
      </c>
    </row>
    <row r="2" spans="1:9">
      <c r="A2" t="s">
        <v>8</v>
      </c>
      <c r="B2">
        <v>39</v>
      </c>
      <c r="C2">
        <v>43</v>
      </c>
      <c r="D2" s="8">
        <v>47.56</v>
      </c>
      <c r="E2" s="1">
        <v>825659</v>
      </c>
      <c r="F2">
        <v>41</v>
      </c>
      <c r="G2" s="1">
        <v>20138.02</v>
      </c>
      <c r="I2" s="7">
        <f>CORREL(B2:B31,G2:G31)</f>
        <v>0.22795459166374096</v>
      </c>
    </row>
    <row r="3" spans="1:9">
      <c r="A3" t="s">
        <v>36</v>
      </c>
      <c r="B3">
        <v>39</v>
      </c>
      <c r="C3">
        <v>43</v>
      </c>
      <c r="D3" s="8">
        <v>47.56</v>
      </c>
      <c r="E3" s="1">
        <v>803174</v>
      </c>
      <c r="F3">
        <v>40</v>
      </c>
      <c r="G3" s="1">
        <v>20079.349999999999</v>
      </c>
    </row>
    <row r="4" spans="1:9">
      <c r="A4" t="s">
        <v>43</v>
      </c>
      <c r="B4">
        <v>24</v>
      </c>
      <c r="C4">
        <v>58</v>
      </c>
      <c r="D4" s="8">
        <v>29.27</v>
      </c>
      <c r="E4" s="1">
        <v>813621</v>
      </c>
      <c r="F4">
        <v>41</v>
      </c>
      <c r="G4" s="1">
        <v>19844.41</v>
      </c>
    </row>
    <row r="5" spans="1:9">
      <c r="A5" t="s">
        <v>5</v>
      </c>
      <c r="B5">
        <v>51</v>
      </c>
      <c r="C5">
        <v>31</v>
      </c>
      <c r="D5" s="8">
        <v>62.2</v>
      </c>
      <c r="E5" s="1">
        <v>811794</v>
      </c>
      <c r="F5">
        <v>41</v>
      </c>
      <c r="G5" s="1">
        <v>19799.849999999999</v>
      </c>
    </row>
    <row r="6" spans="1:9">
      <c r="A6" t="s">
        <v>9</v>
      </c>
      <c r="B6">
        <v>50</v>
      </c>
      <c r="C6">
        <v>32</v>
      </c>
      <c r="D6" s="8">
        <v>60.98</v>
      </c>
      <c r="E6" s="1">
        <v>811211</v>
      </c>
      <c r="F6">
        <v>41</v>
      </c>
      <c r="G6" s="1">
        <v>19785.63</v>
      </c>
    </row>
    <row r="7" spans="1:9">
      <c r="A7" t="s">
        <v>37</v>
      </c>
      <c r="B7">
        <v>37</v>
      </c>
      <c r="C7">
        <v>45</v>
      </c>
      <c r="D7" s="8">
        <v>45.12</v>
      </c>
      <c r="E7" s="1">
        <v>808337</v>
      </c>
      <c r="F7">
        <v>41</v>
      </c>
      <c r="G7" s="1">
        <v>19715.54</v>
      </c>
    </row>
    <row r="8" spans="1:9">
      <c r="A8" t="s">
        <v>7</v>
      </c>
      <c r="B8">
        <v>64</v>
      </c>
      <c r="C8">
        <v>18</v>
      </c>
      <c r="D8" s="8">
        <v>78.05</v>
      </c>
      <c r="E8" s="1">
        <v>796712</v>
      </c>
      <c r="F8">
        <v>41</v>
      </c>
      <c r="G8" s="1">
        <v>19432</v>
      </c>
    </row>
    <row r="9" spans="1:9">
      <c r="A9" t="s">
        <v>6</v>
      </c>
      <c r="B9">
        <v>61</v>
      </c>
      <c r="C9">
        <v>21</v>
      </c>
      <c r="D9" s="8">
        <v>74.39</v>
      </c>
      <c r="E9" s="1">
        <v>785396</v>
      </c>
      <c r="F9">
        <v>41</v>
      </c>
      <c r="G9" s="1">
        <v>19156</v>
      </c>
    </row>
    <row r="10" spans="1:9">
      <c r="A10" t="s">
        <v>32</v>
      </c>
      <c r="B10">
        <v>44</v>
      </c>
      <c r="C10">
        <v>38</v>
      </c>
      <c r="D10" s="8">
        <v>53.66</v>
      </c>
      <c r="E10" s="1">
        <v>781929</v>
      </c>
      <c r="F10">
        <v>41</v>
      </c>
      <c r="G10" s="1">
        <v>19071.439999999999</v>
      </c>
    </row>
    <row r="11" spans="1:9">
      <c r="A11" t="s">
        <v>28</v>
      </c>
      <c r="B11">
        <v>49</v>
      </c>
      <c r="C11">
        <v>33</v>
      </c>
      <c r="D11" s="8">
        <v>59.76</v>
      </c>
      <c r="E11" s="1">
        <v>772249</v>
      </c>
      <c r="F11">
        <v>41</v>
      </c>
      <c r="G11" s="1">
        <v>18835.34</v>
      </c>
    </row>
    <row r="12" spans="1:9">
      <c r="A12" t="s">
        <v>41</v>
      </c>
      <c r="B12">
        <v>30</v>
      </c>
      <c r="C12">
        <v>52</v>
      </c>
      <c r="D12" s="8">
        <v>36.590000000000003</v>
      </c>
      <c r="E12" s="1">
        <v>768573</v>
      </c>
      <c r="F12">
        <v>41</v>
      </c>
      <c r="G12" s="1">
        <v>18745.68</v>
      </c>
    </row>
    <row r="13" spans="1:9">
      <c r="A13" t="s">
        <v>27</v>
      </c>
      <c r="B13">
        <v>50</v>
      </c>
      <c r="C13">
        <v>32</v>
      </c>
      <c r="D13" s="8">
        <v>60.98</v>
      </c>
      <c r="E13" s="1">
        <v>767626</v>
      </c>
      <c r="F13">
        <v>41</v>
      </c>
      <c r="G13" s="1">
        <v>18722.59</v>
      </c>
    </row>
    <row r="14" spans="1:9">
      <c r="A14" t="s">
        <v>33</v>
      </c>
      <c r="B14">
        <v>41</v>
      </c>
      <c r="C14">
        <v>41</v>
      </c>
      <c r="D14" s="8">
        <v>50</v>
      </c>
      <c r="E14" s="1">
        <v>762121</v>
      </c>
      <c r="F14">
        <v>41</v>
      </c>
      <c r="G14" s="1">
        <v>18588.32</v>
      </c>
    </row>
    <row r="15" spans="1:9">
      <c r="A15" t="s">
        <v>47</v>
      </c>
      <c r="B15">
        <v>17</v>
      </c>
      <c r="C15">
        <v>65</v>
      </c>
      <c r="D15" s="8">
        <v>20.73</v>
      </c>
      <c r="E15" s="1">
        <v>745175</v>
      </c>
      <c r="F15">
        <v>41</v>
      </c>
      <c r="G15" s="1">
        <v>18175</v>
      </c>
    </row>
    <row r="16" spans="1:9">
      <c r="A16" t="s">
        <v>29</v>
      </c>
      <c r="B16">
        <v>48</v>
      </c>
      <c r="C16">
        <v>34</v>
      </c>
      <c r="D16" s="8">
        <v>58.54</v>
      </c>
      <c r="E16" s="1">
        <v>740624</v>
      </c>
      <c r="F16">
        <v>41</v>
      </c>
      <c r="G16" s="1">
        <v>18064</v>
      </c>
    </row>
    <row r="17" spans="1:7">
      <c r="A17" t="s">
        <v>23</v>
      </c>
      <c r="B17">
        <v>68</v>
      </c>
      <c r="C17">
        <v>14</v>
      </c>
      <c r="D17" s="8">
        <v>82.93</v>
      </c>
      <c r="E17" s="1">
        <v>736895</v>
      </c>
      <c r="F17">
        <v>41</v>
      </c>
      <c r="G17" s="1">
        <v>17973.05</v>
      </c>
    </row>
    <row r="18" spans="1:7">
      <c r="A18" t="s">
        <v>40</v>
      </c>
      <c r="B18">
        <v>34</v>
      </c>
      <c r="C18">
        <v>48</v>
      </c>
      <c r="D18" s="8">
        <v>41.46</v>
      </c>
      <c r="E18" s="1">
        <v>715765</v>
      </c>
      <c r="F18">
        <v>40</v>
      </c>
      <c r="G18" s="1">
        <v>17894.13</v>
      </c>
    </row>
    <row r="19" spans="1:7">
      <c r="A19" t="s">
        <v>39</v>
      </c>
      <c r="B19">
        <v>36</v>
      </c>
      <c r="C19">
        <v>46</v>
      </c>
      <c r="D19" s="8">
        <v>43.9</v>
      </c>
      <c r="E19" s="1">
        <v>719369</v>
      </c>
      <c r="F19">
        <v>41</v>
      </c>
      <c r="G19" s="1">
        <v>17545.59</v>
      </c>
    </row>
    <row r="20" spans="1:7">
      <c r="A20" t="s">
        <v>24</v>
      </c>
      <c r="B20">
        <v>52</v>
      </c>
      <c r="C20">
        <v>30</v>
      </c>
      <c r="D20" s="8">
        <v>63.41</v>
      </c>
      <c r="E20" s="1">
        <v>716853</v>
      </c>
      <c r="F20">
        <v>41</v>
      </c>
      <c r="G20" s="1">
        <v>17484.22</v>
      </c>
    </row>
    <row r="21" spans="1:7">
      <c r="A21" t="s">
        <v>30</v>
      </c>
      <c r="B21">
        <v>48</v>
      </c>
      <c r="C21">
        <v>34</v>
      </c>
      <c r="D21" s="8">
        <v>58.54</v>
      </c>
      <c r="E21" s="1">
        <v>714901</v>
      </c>
      <c r="F21">
        <v>41</v>
      </c>
      <c r="G21" s="1">
        <v>17436.61</v>
      </c>
    </row>
    <row r="22" spans="1:7">
      <c r="A22" t="s">
        <v>42</v>
      </c>
      <c r="B22">
        <v>26</v>
      </c>
      <c r="C22">
        <v>56</v>
      </c>
      <c r="D22" s="8">
        <v>31.71</v>
      </c>
      <c r="E22" s="1">
        <v>713304</v>
      </c>
      <c r="F22">
        <v>41</v>
      </c>
      <c r="G22" s="1">
        <v>17397.66</v>
      </c>
    </row>
    <row r="23" spans="1:7">
      <c r="A23" t="s">
        <v>45</v>
      </c>
      <c r="B23">
        <v>19</v>
      </c>
      <c r="C23">
        <v>63</v>
      </c>
      <c r="D23" s="8">
        <v>23.17</v>
      </c>
      <c r="E23" s="1">
        <v>703935</v>
      </c>
      <c r="F23">
        <v>41</v>
      </c>
      <c r="G23" s="1">
        <v>17169.150000000001</v>
      </c>
    </row>
    <row r="24" spans="1:7">
      <c r="A24" t="s">
        <v>38</v>
      </c>
      <c r="B24">
        <v>36</v>
      </c>
      <c r="C24">
        <v>46</v>
      </c>
      <c r="D24" s="8">
        <v>43.9</v>
      </c>
      <c r="E24" s="1">
        <v>699911</v>
      </c>
      <c r="F24">
        <v>41</v>
      </c>
      <c r="G24" s="1">
        <v>17071</v>
      </c>
    </row>
    <row r="25" spans="1:7">
      <c r="A25" t="s">
        <v>34</v>
      </c>
      <c r="B25">
        <v>40</v>
      </c>
      <c r="C25">
        <v>42</v>
      </c>
      <c r="D25" s="8">
        <v>48.78</v>
      </c>
      <c r="E25" s="1">
        <v>696409</v>
      </c>
      <c r="F25">
        <v>41</v>
      </c>
      <c r="G25" s="1">
        <v>16985.59</v>
      </c>
    </row>
    <row r="26" spans="1:7">
      <c r="A26" t="s">
        <v>44</v>
      </c>
      <c r="B26">
        <v>21</v>
      </c>
      <c r="C26">
        <v>61</v>
      </c>
      <c r="D26" s="8">
        <v>25.61</v>
      </c>
      <c r="E26" s="1">
        <v>689400</v>
      </c>
      <c r="F26">
        <v>41</v>
      </c>
      <c r="G26" s="1">
        <v>16814.63</v>
      </c>
    </row>
    <row r="27" spans="1:7">
      <c r="A27" t="s">
        <v>25</v>
      </c>
      <c r="B27">
        <v>50</v>
      </c>
      <c r="C27">
        <v>32</v>
      </c>
      <c r="D27" s="8">
        <v>60.98</v>
      </c>
      <c r="E27" s="1">
        <v>669499</v>
      </c>
      <c r="F27">
        <v>40</v>
      </c>
      <c r="G27" s="1">
        <v>16737.48</v>
      </c>
    </row>
    <row r="28" spans="1:7">
      <c r="A28" t="s">
        <v>31</v>
      </c>
      <c r="B28">
        <v>48</v>
      </c>
      <c r="C28">
        <v>34</v>
      </c>
      <c r="D28" s="8">
        <v>58.54</v>
      </c>
      <c r="E28" s="1">
        <v>683067</v>
      </c>
      <c r="F28">
        <v>41</v>
      </c>
      <c r="G28" s="1">
        <v>16660.169999999998</v>
      </c>
    </row>
    <row r="29" spans="1:7">
      <c r="A29" t="s">
        <v>26</v>
      </c>
      <c r="B29">
        <v>50</v>
      </c>
      <c r="C29">
        <v>32</v>
      </c>
      <c r="D29" s="8">
        <v>60.98</v>
      </c>
      <c r="E29" s="1">
        <v>679220</v>
      </c>
      <c r="F29">
        <v>41</v>
      </c>
      <c r="G29" s="1">
        <v>16566.34</v>
      </c>
    </row>
    <row r="30" spans="1:7">
      <c r="A30" t="s">
        <v>35</v>
      </c>
      <c r="B30">
        <v>40</v>
      </c>
      <c r="C30">
        <v>42</v>
      </c>
      <c r="D30" s="8">
        <v>48.78</v>
      </c>
      <c r="E30" s="1">
        <v>657613</v>
      </c>
      <c r="F30">
        <v>40</v>
      </c>
      <c r="G30" s="1">
        <v>16440.330000000002</v>
      </c>
    </row>
    <row r="31" spans="1:7">
      <c r="A31" t="s">
        <v>46</v>
      </c>
      <c r="B31">
        <v>18</v>
      </c>
      <c r="C31">
        <v>64</v>
      </c>
      <c r="D31" s="8">
        <v>21.95</v>
      </c>
      <c r="E31" s="1">
        <v>643363</v>
      </c>
      <c r="F31">
        <v>40</v>
      </c>
      <c r="G31" s="1">
        <v>16084.08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0260-DABC-45A6-8C8D-60C1A2F9D440}">
  <dimension ref="A1:D6"/>
  <sheetViews>
    <sheetView workbookViewId="0">
      <selection activeCell="B1" sqref="B1"/>
    </sheetView>
  </sheetViews>
  <sheetFormatPr defaultRowHeight="15"/>
  <cols>
    <col min="1" max="1" width="18.42578125" bestFit="1" customWidth="1"/>
    <col min="2" max="4" width="11.42578125" bestFit="1" customWidth="1"/>
  </cols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t="s">
        <v>7</v>
      </c>
      <c r="B2">
        <v>64</v>
      </c>
      <c r="C2">
        <v>18</v>
      </c>
      <c r="D2">
        <v>78.05</v>
      </c>
    </row>
    <row r="3" spans="1:4">
      <c r="A3" t="s">
        <v>6</v>
      </c>
      <c r="B3">
        <v>61</v>
      </c>
      <c r="C3">
        <v>21</v>
      </c>
      <c r="D3">
        <v>74.39</v>
      </c>
    </row>
    <row r="4" spans="1:4">
      <c r="A4" t="s">
        <v>5</v>
      </c>
      <c r="B4">
        <v>51</v>
      </c>
      <c r="C4">
        <v>31</v>
      </c>
      <c r="D4">
        <v>62.2</v>
      </c>
    </row>
    <row r="5" spans="1:4">
      <c r="A5" t="s">
        <v>9</v>
      </c>
      <c r="B5">
        <v>50</v>
      </c>
      <c r="C5">
        <v>32</v>
      </c>
      <c r="D5">
        <v>60.98</v>
      </c>
    </row>
    <row r="6" spans="1:4">
      <c r="A6" t="s">
        <v>8</v>
      </c>
      <c r="B6">
        <v>39</v>
      </c>
      <c r="C6">
        <v>43</v>
      </c>
      <c r="D6">
        <v>47.56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860602-1C3C-4420-BB68-B5CD04069A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4</vt:i4>
      </vt:variant>
    </vt:vector>
  </HeadingPairs>
  <TitlesOfParts>
    <vt:vector size="8" baseType="lpstr">
      <vt:lpstr>Sheet1</vt:lpstr>
      <vt:lpstr>NBA Dashboard</vt:lpstr>
      <vt:lpstr>NBA 30 Teams</vt:lpstr>
      <vt:lpstr>SQl Win Anlysis </vt:lpstr>
      <vt:lpstr>NBA Attendance Analysis</vt:lpstr>
      <vt:lpstr>NBA Wins Analysis</vt:lpstr>
      <vt:lpstr>NBA Winning Percentage</vt:lpstr>
      <vt:lpstr>NBA Correlation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Cutignola</dc:creator>
  <cp:lastModifiedBy>Jordan C</cp:lastModifiedBy>
  <dcterms:created xsi:type="dcterms:W3CDTF">2026-10-13T19:25:11Z</dcterms:created>
  <dcterms:modified xsi:type="dcterms:W3CDTF">2026-10-19T19:08:45Z</dcterms:modified>
</cp:coreProperties>
</file>